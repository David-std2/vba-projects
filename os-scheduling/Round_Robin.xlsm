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9328" codeName="{DD97A8EA-9A9A-E61F-A557-7D5A7D7259CE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david\Downloads\ROUND ROBIN\"/>
    </mc:Choice>
  </mc:AlternateContent>
  <xr:revisionPtr revIDLastSave="0" documentId="13_ncr:1_{698798CA-8687-4021-81E5-B37ABE318E30}" xr6:coauthVersionLast="47" xr6:coauthVersionMax="47" xr10:uidLastSave="{00000000-0000-0000-0000-000000000000}"/>
  <bookViews>
    <workbookView xWindow="-110" yWindow="-110" windowWidth="25820" windowHeight="15500" activeTab="1" xr2:uid="{00000000-000D-0000-FFFF-FFFF00000000}"/>
  </bookViews>
  <sheets>
    <sheet name="Calculadora Recur. Comput." sheetId="1" r:id="rId1"/>
    <sheet name="Round-Robin" sheetId="4" r:id="rId2"/>
  </sheets>
  <calcPr calcId="191028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D11" i="1" l="1"/>
  <c r="C12" i="1" s="1"/>
  <c r="D12" i="1" s="1"/>
  <c r="C13" i="1" s="1"/>
  <c r="G8" i="1"/>
  <c r="C4" i="1" s="1"/>
  <c r="C14" i="1" l="1"/>
</calcChain>
</file>

<file path=xl/sharedStrings.xml><?xml version="1.0" encoding="utf-8"?>
<sst xmlns="http://schemas.openxmlformats.org/spreadsheetml/2006/main" count="79" uniqueCount="38">
  <si>
    <t>Usuarios Concurrentes</t>
  </si>
  <si>
    <t>Usuarios Potenciales</t>
  </si>
  <si>
    <t>Memoria RAM</t>
  </si>
  <si>
    <t>Disco</t>
  </si>
  <si>
    <t>Red</t>
  </si>
  <si>
    <t>Item</t>
  </si>
  <si>
    <t>Descripción</t>
  </si>
  <si>
    <t>Observación</t>
  </si>
  <si>
    <t>Lo da el enunciado</t>
  </si>
  <si>
    <t>Aplicación de Ley de Little</t>
  </si>
  <si>
    <t>Tamaño de transacción</t>
  </si>
  <si>
    <t xml:space="preserve">Tiempo de respuesta del sistema: </t>
  </si>
  <si>
    <t xml:space="preserve">Tiempo de pensar del usuario: </t>
  </si>
  <si>
    <t>TPS = Total de transacciones/ Duración en segundos</t>
  </si>
  <si>
    <t>RAM (Mb) = Usuarios potenciales * Tamaño de Transacción (Kb) / 1000</t>
  </si>
  <si>
    <t>Disco = RAM (Gb) * 365 / 1000</t>
  </si>
  <si>
    <t>L = Transacciones Por Segundo * (Tiempo de respuesta del sistema + Tiempo de pensar del usuario)</t>
  </si>
  <si>
    <t>Red = Usuarios concurrentes * Tamaño de Transacción (Kb) / 1000000</t>
  </si>
  <si>
    <t>P1</t>
  </si>
  <si>
    <t>P2</t>
  </si>
  <si>
    <t>P3</t>
  </si>
  <si>
    <t>P4</t>
  </si>
  <si>
    <t>Llegadas</t>
  </si>
  <si>
    <t>Process</t>
  </si>
  <si>
    <t>L</t>
  </si>
  <si>
    <t>Procesos en Cola</t>
  </si>
  <si>
    <t>Fi</t>
  </si>
  <si>
    <t>Diagrama de Gantt</t>
  </si>
  <si>
    <t>Gantt (secuencial)</t>
  </si>
  <si>
    <t>WT y CT</t>
  </si>
  <si>
    <t>(WT) Waiting Time</t>
  </si>
  <si>
    <t>(CT) Complete Time</t>
  </si>
  <si>
    <t>Promedios</t>
  </si>
  <si>
    <t>AWT</t>
  </si>
  <si>
    <t>ACT</t>
  </si>
  <si>
    <t>Procesos</t>
  </si>
  <si>
    <t>Tiempo de Proceso</t>
  </si>
  <si>
    <t xml:space="preserve">Tiempo de llegada 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</si>
</sst>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9">
    <numFmt numFmtId="164" formatCode="0\ &quot;seg&quot;"/>
    <numFmt numFmtId="165" formatCode="0\ &quot;hrs&quot;"/>
    <numFmt numFmtId="166" formatCode="0\ &quot;transacciones&quot;"/>
    <numFmt numFmtId="167" formatCode="0.0\ &quot;Mb&quot;"/>
    <numFmt numFmtId="168" formatCode="0\ &quot;Mb&quot;"/>
    <numFmt numFmtId="169" formatCode="0\ &quot;Kb&quot;"/>
    <numFmt numFmtId="170" formatCode="0\ &quot;Gb&quot;"/>
    <numFmt numFmtId="171" formatCode="0.00\ &quot;Tb&quot;"/>
    <numFmt numFmtId="172" formatCode="0.00000\ &quot;Gbps&quot;"/>
  </numFmts>
  <fonts count="11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2"/>
      <color theme="1"/>
      <name val="Times New Roman"/>
      <family val="1"/>
    </font>
    <font>
      <b/>
      <sz val="12"/>
      <color theme="1"/>
      <name val="Times New Roman"/>
      <family val="1"/>
    </font>
    <font>
      <sz val="11"/>
      <color theme="1"/>
      <name val="Times New Roman"/>
      <family val="1"/>
    </font>
    <font>
      <sz val="12"/>
      <color theme="4" tint="-0.249977111117893"/>
      <name val="Times New Roman"/>
      <family val="1"/>
    </font>
    <font>
      <sz val="12"/>
      <color rgb="FFC00000"/>
      <name val="Times New Roman"/>
      <family val="1"/>
    </font>
    <font>
      <sz val="11"/>
      <color rgb="FFC00000"/>
      <name val="Times New Roman"/>
      <family val="1"/>
    </font>
    <font>
      <sz val="11"/>
      <color rgb="FFC80000"/>
      <name val="Calibri"/>
      <family val="2"/>
      <scheme val="minor"/>
    </font>
    <font>
      <b/>
      <sz val="10"/>
      <color rgb="FF000000"/>
      <name val="Arial"/>
      <family val="2"/>
    </font>
    <font>
      <sz val="10"/>
      <color rgb="FF000000"/>
      <name val="Arial"/>
      <family val="2"/>
    </font>
  </fonts>
  <fills count="13">
    <fill>
      <patternFill patternType="none"/>
    </fill>
    <fill>
      <patternFill patternType="gray125"/>
    </fill>
    <fill>
      <patternFill patternType="solid">
        <fgColor theme="0" tint="-4.9989318521683403E-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E6E6E6"/>
        <bgColor indexed="64"/>
      </patternFill>
    </fill>
    <fill>
      <patternFill patternType="solid">
        <fgColor rgb="FFF5F5F5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rgb="FFEBEBEB"/>
        <bgColor indexed="64"/>
      </patternFill>
    </fill>
    <fill>
      <patternFill patternType="solid">
        <fgColor rgb="FFFFFACD"/>
        <bgColor indexed="64"/>
      </patternFill>
    </fill>
    <fill>
      <patternFill patternType="solid">
        <fgColor rgb="FFDDEBF7"/>
        <bgColor indexed="64"/>
      </patternFill>
    </fill>
    <fill>
      <patternFill patternType="solid">
        <fgColor rgb="FFFFE6CC"/>
        <bgColor indexed="64"/>
      </patternFill>
    </fill>
    <fill>
      <patternFill patternType="solid">
        <fgColor rgb="FFE2EFDA"/>
        <bgColor indexed="64"/>
      </patternFill>
    </fill>
    <fill>
      <patternFill patternType="solid">
        <fgColor rgb="FFFFFFFF"/>
        <bgColor indexed="64"/>
      </patternFill>
    </fill>
  </fills>
  <borders count="16">
    <border>
      <left/>
      <right/>
      <top/>
      <bottom/>
      <diagonal/>
    </border>
    <border>
      <left/>
      <right/>
      <top style="medium">
        <color rgb="FF000000"/>
      </top>
      <bottom style="medium">
        <color rgb="FF000000"/>
      </bottom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dotted">
        <color indexed="64"/>
      </left>
      <right style="dotted">
        <color indexed="64"/>
      </right>
      <top style="dotted">
        <color indexed="64"/>
      </top>
      <bottom style="dotted">
        <color indexed="64"/>
      </bottom>
      <diagonal/>
    </border>
    <border>
      <left style="dotted">
        <color indexed="64"/>
      </left>
      <right/>
      <top style="dotted">
        <color indexed="64"/>
      </top>
      <bottom style="dotted">
        <color indexed="64"/>
      </bottom>
      <diagonal/>
    </border>
    <border>
      <left/>
      <right style="dotted">
        <color indexed="64"/>
      </right>
      <top style="dotted">
        <color indexed="64"/>
      </top>
      <bottom style="dotted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dotted">
        <color indexed="64"/>
      </left>
      <right/>
      <top style="dotted">
        <color indexed="64"/>
      </top>
      <bottom style="thin">
        <color indexed="64"/>
      </bottom>
      <diagonal/>
    </border>
    <border>
      <left/>
      <right style="dotted">
        <color indexed="64"/>
      </right>
      <top style="dotted">
        <color indexed="64"/>
      </top>
      <bottom style="thin">
        <color indexed="64"/>
      </bottom>
      <diagonal/>
    </border>
    <border>
      <left/>
      <right/>
      <top style="medium">
        <color rgb="FF000000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</borders>
  <cellStyleXfs count="1">
    <xf numFmtId="0" fontId="0" fillId="0" borderId="0"/>
  </cellStyleXfs>
  <cellXfs count="58">
    <xf numFmtId="0" fontId="0" fillId="0" borderId="0" xfId="0"/>
    <xf numFmtId="0" fontId="2" fillId="0" borderId="0" xfId="0" applyFont="1" applyAlignment="1">
      <alignment vertical="center" wrapText="1"/>
    </xf>
    <xf numFmtId="0" fontId="3" fillId="0" borderId="1" xfId="0" applyFont="1" applyBorder="1" applyAlignment="1">
      <alignment horizontal="center" vertical="center" wrapText="1"/>
    </xf>
    <xf numFmtId="165" fontId="4" fillId="2" borderId="5" xfId="0" applyNumberFormat="1" applyFont="1" applyFill="1" applyBorder="1" applyAlignment="1">
      <alignment horizontal="center" vertical="center"/>
    </xf>
    <xf numFmtId="164" fontId="4" fillId="3" borderId="5" xfId="0" applyNumberFormat="1" applyFont="1" applyFill="1" applyBorder="1" applyAlignment="1">
      <alignment horizontal="center" vertical="center"/>
    </xf>
    <xf numFmtId="0" fontId="2" fillId="0" borderId="4" xfId="0" applyFont="1" applyBorder="1" applyAlignment="1">
      <alignment vertical="center" wrapText="1"/>
    </xf>
    <xf numFmtId="167" fontId="2" fillId="2" borderId="4" xfId="0" applyNumberFormat="1" applyFont="1" applyFill="1" applyBorder="1" applyAlignment="1">
      <alignment horizontal="center" vertical="center" wrapText="1"/>
    </xf>
    <xf numFmtId="169" fontId="2" fillId="0" borderId="4" xfId="0" applyNumberFormat="1" applyFont="1" applyBorder="1" applyAlignment="1">
      <alignment horizontal="center" vertical="center" wrapText="1"/>
    </xf>
    <xf numFmtId="168" fontId="2" fillId="0" borderId="4" xfId="0" applyNumberFormat="1" applyFont="1" applyBorder="1" applyAlignment="1">
      <alignment horizontal="center" vertical="center" wrapText="1"/>
    </xf>
    <xf numFmtId="170" fontId="2" fillId="0" borderId="4" xfId="0" applyNumberFormat="1" applyFont="1" applyBorder="1" applyAlignment="1">
      <alignment horizontal="center" vertical="center" wrapText="1"/>
    </xf>
    <xf numFmtId="0" fontId="7" fillId="0" borderId="0" xfId="0" applyFont="1" applyAlignment="1">
      <alignment vertical="center"/>
    </xf>
    <xf numFmtId="0" fontId="7" fillId="0" borderId="2" xfId="0" applyFont="1" applyBorder="1" applyAlignment="1">
      <alignment vertical="center"/>
    </xf>
    <xf numFmtId="0" fontId="1" fillId="0" borderId="8" xfId="0" applyFont="1" applyBorder="1"/>
    <xf numFmtId="0" fontId="0" fillId="4" borderId="8" xfId="0" applyFill="1" applyBorder="1" applyAlignment="1">
      <alignment horizontal="center"/>
    </xf>
    <xf numFmtId="0" fontId="0" fillId="5" borderId="8" xfId="0" applyFill="1" applyBorder="1"/>
    <xf numFmtId="0" fontId="0" fillId="6" borderId="8" xfId="0" applyFill="1" applyBorder="1" applyAlignment="1">
      <alignment horizontal="center"/>
    </xf>
    <xf numFmtId="0" fontId="0" fillId="6" borderId="8" xfId="0" applyFill="1" applyBorder="1"/>
    <xf numFmtId="0" fontId="0" fillId="0" borderId="8" xfId="0" applyBorder="1"/>
    <xf numFmtId="0" fontId="0" fillId="0" borderId="8" xfId="0" applyBorder="1" applyAlignment="1">
      <alignment horizontal="center"/>
    </xf>
    <xf numFmtId="0" fontId="8" fillId="0" borderId="8" xfId="0" applyFont="1" applyBorder="1" applyAlignment="1">
      <alignment horizontal="center"/>
    </xf>
    <xf numFmtId="0" fontId="0" fillId="7" borderId="8" xfId="0" applyFill="1" applyBorder="1"/>
    <xf numFmtId="0" fontId="0" fillId="0" borderId="0" xfId="0" applyAlignment="1">
      <alignment horizontal="left"/>
    </xf>
    <xf numFmtId="0" fontId="1" fillId="4" borderId="8" xfId="0" applyFont="1" applyFill="1" applyBorder="1" applyAlignment="1">
      <alignment horizontal="center" vertical="center"/>
    </xf>
    <xf numFmtId="0" fontId="0" fillId="0" borderId="8" xfId="0" applyBorder="1" applyAlignment="1">
      <alignment horizontal="center" vertical="center"/>
    </xf>
    <xf numFmtId="2" fontId="0" fillId="0" borderId="8" xfId="0" applyNumberFormat="1" applyBorder="1" applyAlignment="1">
      <alignment horizontal="center" vertical="center"/>
    </xf>
    <xf numFmtId="0" fontId="0" fillId="8" borderId="8" xfId="0" applyFill="1" applyBorder="1" applyAlignment="1">
      <alignment horizontal="center"/>
    </xf>
    <xf numFmtId="0" fontId="9" fillId="0" borderId="12" xfId="0" applyFont="1" applyBorder="1" applyAlignment="1">
      <alignment horizontal="center" vertical="center" wrapText="1"/>
    </xf>
    <xf numFmtId="0" fontId="9" fillId="0" borderId="13" xfId="0" applyFont="1" applyBorder="1" applyAlignment="1">
      <alignment horizontal="center" vertical="center" wrapText="1"/>
    </xf>
    <xf numFmtId="0" fontId="9" fillId="0" borderId="14" xfId="0" applyFont="1" applyBorder="1" applyAlignment="1">
      <alignment horizontal="center" vertical="center" wrapText="1"/>
    </xf>
    <xf numFmtId="0" fontId="10" fillId="12" borderId="15" xfId="0" applyFont="1" applyFill="1" applyBorder="1" applyAlignment="1">
      <alignment horizontal="center" vertical="center"/>
    </xf>
    <xf numFmtId="0" fontId="2" fillId="0" borderId="3" xfId="0" applyFont="1" applyBorder="1" applyAlignment="1">
      <alignment horizontal="left" vertical="center" wrapText="1"/>
    </xf>
    <xf numFmtId="0" fontId="2" fillId="0" borderId="0" xfId="0" applyFont="1" applyAlignment="1">
      <alignment horizontal="left" vertical="center" wrapText="1"/>
    </xf>
    <xf numFmtId="0" fontId="2" fillId="0" borderId="2" xfId="0" applyFont="1" applyBorder="1" applyAlignment="1">
      <alignment horizontal="left" vertical="center" wrapText="1"/>
    </xf>
    <xf numFmtId="0" fontId="3" fillId="0" borderId="1" xfId="0" applyFont="1" applyBorder="1" applyAlignment="1">
      <alignment horizontal="center" vertical="center" wrapText="1"/>
    </xf>
    <xf numFmtId="0" fontId="2" fillId="2" borderId="11" xfId="0" applyFont="1" applyFill="1" applyBorder="1" applyAlignment="1">
      <alignment horizontal="center" vertical="center" wrapText="1"/>
    </xf>
    <xf numFmtId="1" fontId="2" fillId="0" borderId="3" xfId="0" applyNumberFormat="1" applyFont="1" applyBorder="1" applyAlignment="1">
      <alignment horizontal="center" vertical="center" wrapText="1"/>
    </xf>
    <xf numFmtId="1" fontId="2" fillId="0" borderId="0" xfId="0" applyNumberFormat="1" applyFont="1" applyAlignment="1">
      <alignment horizontal="center" vertical="center" wrapText="1"/>
    </xf>
    <xf numFmtId="1" fontId="2" fillId="0" borderId="2" xfId="0" applyNumberFormat="1" applyFont="1" applyBorder="1" applyAlignment="1">
      <alignment horizontal="center" vertical="center" wrapText="1"/>
    </xf>
    <xf numFmtId="166" fontId="2" fillId="2" borderId="6" xfId="0" applyNumberFormat="1" applyFont="1" applyFill="1" applyBorder="1" applyAlignment="1">
      <alignment horizontal="center" vertical="center" wrapText="1"/>
    </xf>
    <xf numFmtId="166" fontId="2" fillId="2" borderId="7" xfId="0" applyNumberFormat="1" applyFont="1" applyFill="1" applyBorder="1" applyAlignment="1">
      <alignment horizontal="center" vertical="center" wrapText="1"/>
    </xf>
    <xf numFmtId="164" fontId="4" fillId="2" borderId="6" xfId="0" applyNumberFormat="1" applyFont="1" applyFill="1" applyBorder="1" applyAlignment="1">
      <alignment horizontal="center" vertical="center"/>
    </xf>
    <xf numFmtId="164" fontId="4" fillId="2" borderId="7" xfId="0" applyNumberFormat="1" applyFont="1" applyFill="1" applyBorder="1" applyAlignment="1">
      <alignment horizontal="center" vertical="center"/>
    </xf>
    <xf numFmtId="164" fontId="4" fillId="2" borderId="9" xfId="0" applyNumberFormat="1" applyFont="1" applyFill="1" applyBorder="1" applyAlignment="1">
      <alignment horizontal="center" vertical="center"/>
    </xf>
    <xf numFmtId="164" fontId="4" fillId="2" borderId="10" xfId="0" applyNumberFormat="1" applyFont="1" applyFill="1" applyBorder="1" applyAlignment="1">
      <alignment horizontal="center" vertical="center"/>
    </xf>
    <xf numFmtId="0" fontId="6" fillId="0" borderId="0" xfId="0" applyFont="1" applyAlignment="1">
      <alignment horizontal="left" vertical="center" wrapText="1"/>
    </xf>
    <xf numFmtId="172" fontId="2" fillId="0" borderId="4" xfId="0" applyNumberFormat="1" applyFont="1" applyBorder="1" applyAlignment="1">
      <alignment horizontal="center" vertical="center" wrapText="1"/>
    </xf>
    <xf numFmtId="171" fontId="2" fillId="0" borderId="4" xfId="0" applyNumberFormat="1" applyFont="1" applyBorder="1" applyAlignment="1">
      <alignment horizontal="center" vertical="center" wrapText="1"/>
    </xf>
    <xf numFmtId="0" fontId="2" fillId="0" borderId="4" xfId="0" applyFont="1" applyBorder="1" applyAlignment="1">
      <alignment horizontal="left" vertical="center" wrapText="1"/>
    </xf>
    <xf numFmtId="0" fontId="5" fillId="0" borderId="3" xfId="0" applyFont="1" applyBorder="1" applyAlignment="1">
      <alignment horizontal="left" vertical="center" wrapText="1"/>
    </xf>
    <xf numFmtId="0" fontId="0" fillId="9" borderId="8" xfId="0" applyFill="1" applyBorder="1" applyAlignment="1">
      <alignment horizontal="center"/>
    </xf>
    <xf numFmtId="0" fontId="0" fillId="0" borderId="8" xfId="0" applyBorder="1" applyAlignment="1">
      <alignment horizontal="center"/>
    </xf>
    <xf numFmtId="0" fontId="0" fillId="11" borderId="8" xfId="0" applyFill="1" applyBorder="1" applyAlignment="1">
      <alignment horizontal="center"/>
    </xf>
    <xf numFmtId="0" fontId="0" fillId="8" borderId="8" xfId="0" applyFill="1" applyBorder="1" applyAlignment="1">
      <alignment horizontal="center"/>
    </xf>
    <xf numFmtId="0" fontId="0" fillId="10" borderId="8" xfId="0" applyFill="1" applyBorder="1" applyAlignment="1">
      <alignment horizontal="center"/>
    </xf>
    <xf numFmtId="0" fontId="0" fillId="5" borderId="8" xfId="0" applyFill="1" applyBorder="1" applyAlignment="1">
      <alignment horizontal="center"/>
    </xf>
    <xf numFmtId="0" fontId="0" fillId="7" borderId="8" xfId="0" applyFill="1" applyBorder="1" applyAlignment="1">
      <alignment horizontal="center"/>
    </xf>
    <xf numFmtId="0" fontId="0" fillId="0" borderId="0" xfId="0" applyFont="1" applyFill="1"/>
    <xf numFmtId="0" fontId="0" fillId="0" borderId="0" xfId="0" applyFill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1"/>
  <dimension ref="B1:G15"/>
  <sheetViews>
    <sheetView zoomScale="115" zoomScaleNormal="115" workbookViewId="0">
      <selection activeCell="G22" sqref="G22"/>
    </sheetView>
  </sheetViews>
  <sheetFormatPr baseColWidth="10" defaultColWidth="11.453125" defaultRowHeight="14.5" x14ac:dyDescent="0.35"/>
  <cols>
    <col min="2" max="2" width="25.81640625" customWidth="1"/>
    <col min="3" max="4" width="12.08984375" customWidth="1"/>
    <col min="5" max="5" width="29" customWidth="1"/>
    <col min="6" max="6" width="12.453125" customWidth="1"/>
    <col min="7" max="7" width="12" customWidth="1"/>
    <col min="8" max="10" width="11.453125" customWidth="1"/>
  </cols>
  <sheetData>
    <row r="1" spans="2:7" ht="15" thickBot="1" x14ac:dyDescent="0.4"/>
    <row r="2" spans="2:7" ht="20" customHeight="1" thickBot="1" x14ac:dyDescent="0.4">
      <c r="B2" s="2" t="s">
        <v>5</v>
      </c>
      <c r="C2" s="33" t="s">
        <v>6</v>
      </c>
      <c r="D2" s="33"/>
      <c r="E2" s="33" t="s">
        <v>7</v>
      </c>
      <c r="F2" s="33"/>
      <c r="G2" s="33"/>
    </row>
    <row r="3" spans="2:7" ht="21" customHeight="1" x14ac:dyDescent="0.35">
      <c r="B3" s="1" t="s">
        <v>1</v>
      </c>
      <c r="C3" s="34">
        <v>2000000</v>
      </c>
      <c r="D3" s="34"/>
      <c r="E3" s="31" t="s">
        <v>8</v>
      </c>
      <c r="F3" s="31"/>
      <c r="G3" s="31"/>
    </row>
    <row r="4" spans="2:7" ht="21" customHeight="1" x14ac:dyDescent="0.35">
      <c r="B4" s="30" t="s">
        <v>0</v>
      </c>
      <c r="C4" s="35">
        <f xml:space="preserve"> F7/G8*(F9+F10)</f>
        <v>1230.1587301587301</v>
      </c>
      <c r="D4" s="35"/>
      <c r="E4" s="48" t="s">
        <v>9</v>
      </c>
      <c r="F4" s="48"/>
      <c r="G4" s="48"/>
    </row>
    <row r="5" spans="2:7" ht="21" customHeight="1" x14ac:dyDescent="0.35">
      <c r="B5" s="31"/>
      <c r="C5" s="36"/>
      <c r="D5" s="36"/>
      <c r="E5" s="31" t="s">
        <v>16</v>
      </c>
      <c r="F5" s="31"/>
      <c r="G5" s="31"/>
    </row>
    <row r="6" spans="2:7" ht="21" customHeight="1" x14ac:dyDescent="0.35">
      <c r="B6" s="31"/>
      <c r="C6" s="36"/>
      <c r="D6" s="36"/>
      <c r="E6" s="31"/>
      <c r="F6" s="31"/>
      <c r="G6" s="31"/>
    </row>
    <row r="7" spans="2:7" ht="20" customHeight="1" x14ac:dyDescent="0.35">
      <c r="B7" s="31"/>
      <c r="C7" s="36"/>
      <c r="D7" s="36"/>
      <c r="E7" s="44" t="s">
        <v>13</v>
      </c>
      <c r="F7" s="38">
        <v>500000</v>
      </c>
      <c r="G7" s="39"/>
    </row>
    <row r="8" spans="2:7" ht="20" customHeight="1" x14ac:dyDescent="0.35">
      <c r="B8" s="31"/>
      <c r="C8" s="36"/>
      <c r="D8" s="36"/>
      <c r="E8" s="44"/>
      <c r="F8" s="3">
        <v>7</v>
      </c>
      <c r="G8" s="4">
        <f>F8*3600</f>
        <v>25200</v>
      </c>
    </row>
    <row r="9" spans="2:7" ht="21" customHeight="1" x14ac:dyDescent="0.35">
      <c r="B9" s="31"/>
      <c r="C9" s="36"/>
      <c r="D9" s="36"/>
      <c r="E9" s="10" t="s">
        <v>11</v>
      </c>
      <c r="F9" s="40">
        <v>2</v>
      </c>
      <c r="G9" s="41"/>
    </row>
    <row r="10" spans="2:7" ht="21" customHeight="1" x14ac:dyDescent="0.35">
      <c r="B10" s="32"/>
      <c r="C10" s="37"/>
      <c r="D10" s="37"/>
      <c r="E10" s="11" t="s">
        <v>12</v>
      </c>
      <c r="F10" s="42">
        <v>60</v>
      </c>
      <c r="G10" s="43"/>
    </row>
    <row r="11" spans="2:7" ht="21" customHeight="1" x14ac:dyDescent="0.35">
      <c r="B11" s="5" t="s">
        <v>10</v>
      </c>
      <c r="C11" s="6">
        <v>2</v>
      </c>
      <c r="D11" s="7">
        <f>C11*1000</f>
        <v>2000</v>
      </c>
      <c r="E11" s="47" t="s">
        <v>8</v>
      </c>
      <c r="F11" s="47"/>
      <c r="G11" s="47"/>
    </row>
    <row r="12" spans="2:7" ht="42" customHeight="1" x14ac:dyDescent="0.35">
      <c r="B12" s="5" t="s">
        <v>2</v>
      </c>
      <c r="C12" s="8">
        <f>C3*D11/1000</f>
        <v>4000000</v>
      </c>
      <c r="D12" s="9">
        <f>C12/1000</f>
        <v>4000</v>
      </c>
      <c r="E12" s="47" t="s">
        <v>14</v>
      </c>
      <c r="F12" s="47"/>
      <c r="G12" s="47"/>
    </row>
    <row r="13" spans="2:7" ht="21" customHeight="1" x14ac:dyDescent="0.35">
      <c r="B13" s="5" t="s">
        <v>3</v>
      </c>
      <c r="C13" s="46">
        <f>D12*365/1000</f>
        <v>1460</v>
      </c>
      <c r="D13" s="46"/>
      <c r="E13" s="47" t="s">
        <v>15</v>
      </c>
      <c r="F13" s="47"/>
      <c r="G13" s="47"/>
    </row>
    <row r="14" spans="2:7" ht="42" customHeight="1" x14ac:dyDescent="0.35">
      <c r="B14" s="5" t="s">
        <v>4</v>
      </c>
      <c r="C14" s="45">
        <f>C4*D11/1000000</f>
        <v>2.4603174603174605</v>
      </c>
      <c r="D14" s="45"/>
      <c r="E14" s="47" t="s">
        <v>17</v>
      </c>
      <c r="F14" s="47"/>
      <c r="G14" s="47"/>
    </row>
    <row r="15" spans="2:7" ht="14.5" customHeight="1" x14ac:dyDescent="0.35"/>
  </sheetData>
  <mergeCells count="18">
    <mergeCell ref="C14:D14"/>
    <mergeCell ref="C13:D13"/>
    <mergeCell ref="E14:G14"/>
    <mergeCell ref="E4:G4"/>
    <mergeCell ref="E3:G3"/>
    <mergeCell ref="E11:G11"/>
    <mergeCell ref="E12:G12"/>
    <mergeCell ref="E13:G13"/>
    <mergeCell ref="B4:B10"/>
    <mergeCell ref="E2:G2"/>
    <mergeCell ref="E5:G6"/>
    <mergeCell ref="C2:D2"/>
    <mergeCell ref="C3:D3"/>
    <mergeCell ref="C4:D10"/>
    <mergeCell ref="F7:G7"/>
    <mergeCell ref="F9:G9"/>
    <mergeCell ref="F10:G10"/>
    <mergeCell ref="E7:E8"/>
  </mergeCells>
  <pageMargins left="0.7" right="0.7" top="0.75" bottom="0.75" header="0.3" footer="0.3"/>
  <pageSetup paperSize="9" orientation="portrait" horizontalDpi="360" verticalDpi="36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129E02F-B4B6-4D3E-8EA8-EB347639EA3A}">
  <sheetPr codeName="Hoja2"/>
  <dimension ref="A1:AH35"/>
  <sheetViews>
    <sheetView tabSelected="1" workbookViewId="0">
      <selection activeCell="AF28" sqref="AF28"/>
    </sheetView>
  </sheetViews>
  <sheetFormatPr baseColWidth="10" defaultRowHeight="14.5" x14ac:dyDescent="0.35"/>
  <cols>
    <col min="6" max="30" width="3.6328125" customWidth="1"/>
    <col min="32" max="32" width="9.7265625" bestFit="1" customWidth="1"/>
    <col min="33" max="33" width="16.453125" bestFit="1" customWidth="1"/>
    <col min="34" max="34" width="17.36328125" bestFit="1" customWidth="1"/>
  </cols>
  <sheetData>
    <row r="1" spans="1:34" ht="26.5" thickBot="1" x14ac:dyDescent="0.4">
      <c r="A1" s="26" t="s">
        <v>35</v>
      </c>
      <c r="B1" s="27" t="s">
        <v>37</v>
      </c>
      <c r="C1" s="27" t="s">
        <v>36</v>
      </c>
    </row>
    <row r="2" spans="1:34" ht="15" thickBot="1" x14ac:dyDescent="0.4">
      <c r="A2" s="28" t="s">
        <v>18</v>
      </c>
      <c r="B2" s="29">
        <v>4</v>
      </c>
      <c r="C2" s="29">
        <v>5</v>
      </c>
    </row>
    <row r="3" spans="1:34" ht="15" thickBot="1" x14ac:dyDescent="0.4">
      <c r="A3" s="28" t="s">
        <v>19</v>
      </c>
      <c r="B3" s="29">
        <v>1</v>
      </c>
      <c r="C3" s="29">
        <v>8</v>
      </c>
    </row>
    <row r="4" spans="1:34" ht="15" thickBot="1" x14ac:dyDescent="0.4">
      <c r="A4" s="28" t="s">
        <v>20</v>
      </c>
      <c r="B4" s="29">
        <v>6</v>
      </c>
      <c r="C4" s="29">
        <v>8</v>
      </c>
    </row>
    <row r="5" spans="1:34" ht="15" thickBot="1" x14ac:dyDescent="0.4">
      <c r="A5" s="28" t="s">
        <v>21</v>
      </c>
      <c r="B5" s="29">
        <v>2</v>
      </c>
      <c r="C5" s="29">
        <v>2</v>
      </c>
    </row>
    <row r="9" spans="1:34" x14ac:dyDescent="0.35">
      <c r="E9" t="s">
        <v>22</v>
      </c>
      <c r="AF9" s="21" t="s">
        <v>29</v>
      </c>
    </row>
    <row r="10" spans="1:34" x14ac:dyDescent="0.35">
      <c r="E10" s="12" t="s">
        <v>23</v>
      </c>
      <c r="F10" s="13">
        <v>0</v>
      </c>
      <c r="G10" s="13">
        <v>1</v>
      </c>
      <c r="H10" s="13">
        <v>2</v>
      </c>
      <c r="I10" s="13">
        <v>3</v>
      </c>
      <c r="J10" s="13">
        <v>4</v>
      </c>
      <c r="K10" s="13">
        <v>5</v>
      </c>
      <c r="L10" s="13">
        <v>6</v>
      </c>
      <c r="M10" s="13">
        <v>7</v>
      </c>
      <c r="N10" s="13">
        <v>8</v>
      </c>
      <c r="O10" s="13">
        <v>9</v>
      </c>
      <c r="P10" s="13">
        <v>10</v>
      </c>
      <c r="Q10" s="13">
        <v>11</v>
      </c>
      <c r="R10" s="13">
        <v>12</v>
      </c>
      <c r="S10" s="13">
        <v>13</v>
      </c>
      <c r="T10" s="13">
        <v>14</v>
      </c>
      <c r="U10" s="13">
        <v>15</v>
      </c>
      <c r="V10" s="13">
        <v>16</v>
      </c>
      <c r="W10" s="13">
        <v>17</v>
      </c>
      <c r="X10" s="13">
        <v>18</v>
      </c>
      <c r="Y10" s="13">
        <v>19</v>
      </c>
      <c r="Z10" s="13">
        <v>20</v>
      </c>
      <c r="AA10" s="13">
        <v>21</v>
      </c>
      <c r="AB10" s="13">
        <v>22</v>
      </c>
      <c r="AC10" s="13">
        <v>23</v>
      </c>
      <c r="AD10" s="13">
        <v>24</v>
      </c>
      <c r="AF10" s="22" t="s">
        <v>23</v>
      </c>
      <c r="AG10" s="22" t="s">
        <v>30</v>
      </c>
      <c r="AH10" s="22" t="s">
        <v>31</v>
      </c>
    </row>
    <row r="11" spans="1:34" x14ac:dyDescent="0.35">
      <c r="E11" s="14" t="s">
        <v>18</v>
      </c>
      <c r="F11" s="17"/>
      <c r="G11" s="17"/>
      <c r="H11" s="17"/>
      <c r="I11" s="17"/>
      <c r="J11" s="18" t="s">
        <v>24</v>
      </c>
      <c r="K11" s="17"/>
      <c r="L11" s="17"/>
      <c r="M11" s="16"/>
      <c r="N11" s="16"/>
      <c r="O11" s="16"/>
      <c r="P11" s="16"/>
      <c r="Q11" s="17"/>
      <c r="R11" s="17"/>
      <c r="S11" s="17"/>
      <c r="T11" s="17"/>
      <c r="U11" s="17"/>
      <c r="V11" s="17"/>
      <c r="W11" s="17"/>
      <c r="X11" s="17"/>
      <c r="Y11" s="16"/>
      <c r="Z11" s="17"/>
      <c r="AA11" s="17"/>
      <c r="AB11" s="17"/>
      <c r="AC11" s="17"/>
      <c r="AD11" s="17"/>
      <c r="AF11" s="23" t="s">
        <v>18</v>
      </c>
      <c r="AG11" s="23">
        <v>11</v>
      </c>
      <c r="AH11" s="23">
        <v>16</v>
      </c>
    </row>
    <row r="12" spans="1:34" x14ac:dyDescent="0.35">
      <c r="E12" s="14" t="s">
        <v>19</v>
      </c>
      <c r="F12" s="17"/>
      <c r="G12" s="15" t="s">
        <v>24</v>
      </c>
      <c r="H12" s="16"/>
      <c r="I12" s="16"/>
      <c r="J12" s="16"/>
      <c r="K12" s="17"/>
      <c r="L12" s="17"/>
      <c r="M12" s="17"/>
      <c r="N12" s="17"/>
      <c r="O12" s="17"/>
      <c r="P12" s="17"/>
      <c r="Q12" s="16"/>
      <c r="R12" s="16"/>
      <c r="S12" s="16"/>
      <c r="T12" s="16"/>
      <c r="U12" s="17"/>
      <c r="V12" s="17"/>
      <c r="W12" s="17"/>
      <c r="X12" s="17"/>
      <c r="Y12" s="17"/>
      <c r="Z12" s="17"/>
      <c r="AA12" s="17"/>
      <c r="AB12" s="17"/>
      <c r="AC12" s="17"/>
      <c r="AD12" s="17"/>
      <c r="AF12" s="23" t="s">
        <v>19</v>
      </c>
      <c r="AG12" s="23">
        <v>6</v>
      </c>
      <c r="AH12" s="23">
        <v>14</v>
      </c>
    </row>
    <row r="13" spans="1:34" x14ac:dyDescent="0.35">
      <c r="E13" s="14" t="s">
        <v>20</v>
      </c>
      <c r="F13" s="17"/>
      <c r="G13" s="17"/>
      <c r="H13" s="17"/>
      <c r="I13" s="17"/>
      <c r="J13" s="17"/>
      <c r="K13" s="17"/>
      <c r="L13" s="18" t="s">
        <v>24</v>
      </c>
      <c r="M13" s="17"/>
      <c r="N13" s="17"/>
      <c r="O13" s="17"/>
      <c r="P13" s="17"/>
      <c r="Q13" s="17"/>
      <c r="R13" s="17"/>
      <c r="S13" s="17"/>
      <c r="T13" s="17"/>
      <c r="U13" s="16"/>
      <c r="V13" s="16"/>
      <c r="W13" s="16"/>
      <c r="X13" s="16"/>
      <c r="Y13" s="17"/>
      <c r="Z13" s="16"/>
      <c r="AA13" s="16"/>
      <c r="AB13" s="16"/>
      <c r="AC13" s="16"/>
      <c r="AD13" s="17"/>
      <c r="AF13" s="23" t="s">
        <v>20</v>
      </c>
      <c r="AG13" s="23">
        <v>10</v>
      </c>
      <c r="AH13" s="23">
        <v>18</v>
      </c>
    </row>
    <row r="14" spans="1:34" x14ac:dyDescent="0.35">
      <c r="E14" s="14" t="s">
        <v>21</v>
      </c>
      <c r="F14" s="17"/>
      <c r="G14" s="17"/>
      <c r="H14" s="18" t="s">
        <v>24</v>
      </c>
      <c r="I14" s="17"/>
      <c r="J14" s="17"/>
      <c r="K14" s="16"/>
      <c r="L14" s="16"/>
      <c r="M14" s="17"/>
      <c r="N14" s="17"/>
      <c r="O14" s="17"/>
      <c r="P14" s="17"/>
      <c r="Q14" s="17"/>
      <c r="R14" s="17"/>
      <c r="S14" s="17"/>
      <c r="T14" s="17"/>
      <c r="U14" s="17"/>
      <c r="V14" s="17"/>
      <c r="W14" s="17"/>
      <c r="X14" s="17"/>
      <c r="Y14" s="17"/>
      <c r="Z14" s="17"/>
      <c r="AA14" s="17"/>
      <c r="AB14" s="17"/>
      <c r="AC14" s="17"/>
      <c r="AD14" s="17"/>
      <c r="AF14" s="23" t="s">
        <v>21</v>
      </c>
      <c r="AG14" s="23">
        <v>3</v>
      </c>
      <c r="AH14" s="23">
        <v>5</v>
      </c>
    </row>
    <row r="17" spans="5:34" x14ac:dyDescent="0.35">
      <c r="E17" t="s">
        <v>25</v>
      </c>
      <c r="AF17" s="56" t="s">
        <v>32</v>
      </c>
      <c r="AG17" s="57"/>
      <c r="AH17" s="57"/>
    </row>
    <row r="18" spans="5:34" x14ac:dyDescent="0.35">
      <c r="E18" s="12" t="s">
        <v>23</v>
      </c>
      <c r="F18" s="13">
        <v>0</v>
      </c>
      <c r="G18" s="13">
        <v>1</v>
      </c>
      <c r="H18" s="13">
        <v>2</v>
      </c>
      <c r="I18" s="13">
        <v>3</v>
      </c>
      <c r="J18" s="13">
        <v>4</v>
      </c>
      <c r="K18" s="13">
        <v>5</v>
      </c>
      <c r="L18" s="13">
        <v>6</v>
      </c>
      <c r="M18" s="13">
        <v>7</v>
      </c>
      <c r="N18" s="13">
        <v>8</v>
      </c>
      <c r="O18" s="13">
        <v>9</v>
      </c>
      <c r="P18" s="13">
        <v>10</v>
      </c>
      <c r="Q18" s="13">
        <v>11</v>
      </c>
      <c r="R18" s="13">
        <v>12</v>
      </c>
      <c r="S18" s="13">
        <v>13</v>
      </c>
      <c r="T18" s="13">
        <v>14</v>
      </c>
      <c r="U18" s="13">
        <v>15</v>
      </c>
      <c r="V18" s="13">
        <v>16</v>
      </c>
      <c r="W18" s="13">
        <v>17</v>
      </c>
      <c r="X18" s="13">
        <v>18</v>
      </c>
      <c r="Y18" s="13">
        <v>19</v>
      </c>
      <c r="Z18" s="13">
        <v>20</v>
      </c>
      <c r="AA18" s="13">
        <v>21</v>
      </c>
      <c r="AB18" s="13">
        <v>22</v>
      </c>
      <c r="AC18" s="13">
        <v>23</v>
      </c>
      <c r="AD18" s="13">
        <v>24</v>
      </c>
      <c r="AG18" s="22" t="s">
        <v>33</v>
      </c>
      <c r="AH18" s="22" t="s">
        <v>34</v>
      </c>
    </row>
    <row r="19" spans="5:34" x14ac:dyDescent="0.35">
      <c r="E19" s="14" t="s">
        <v>18</v>
      </c>
      <c r="F19" s="17"/>
      <c r="G19" s="17"/>
      <c r="H19" s="17"/>
      <c r="I19" s="17"/>
      <c r="J19" s="18">
        <v>2</v>
      </c>
      <c r="K19" s="18">
        <v>1</v>
      </c>
      <c r="L19" s="18">
        <v>1</v>
      </c>
      <c r="M19" s="15">
        <v>0</v>
      </c>
      <c r="N19" s="15">
        <v>0</v>
      </c>
      <c r="O19" s="15">
        <v>0</v>
      </c>
      <c r="P19" s="15">
        <v>0</v>
      </c>
      <c r="Q19" s="18">
        <v>2</v>
      </c>
      <c r="R19" s="18">
        <v>2</v>
      </c>
      <c r="S19" s="18">
        <v>2</v>
      </c>
      <c r="T19" s="18">
        <v>2</v>
      </c>
      <c r="U19" s="18">
        <v>1</v>
      </c>
      <c r="V19" s="18">
        <v>1</v>
      </c>
      <c r="W19" s="18">
        <v>1</v>
      </c>
      <c r="X19" s="18">
        <v>1</v>
      </c>
      <c r="Y19" s="15">
        <v>0</v>
      </c>
      <c r="Z19" s="19" t="s">
        <v>26</v>
      </c>
      <c r="AA19" s="17"/>
      <c r="AB19" s="17"/>
      <c r="AC19" s="17"/>
      <c r="AD19" s="17"/>
      <c r="AG19" s="24">
        <v>7.5</v>
      </c>
      <c r="AH19" s="24">
        <v>13.25</v>
      </c>
    </row>
    <row r="20" spans="5:34" x14ac:dyDescent="0.35">
      <c r="E20" s="14" t="s">
        <v>19</v>
      </c>
      <c r="F20" s="17"/>
      <c r="G20" s="15">
        <v>0</v>
      </c>
      <c r="H20" s="15">
        <v>0</v>
      </c>
      <c r="I20" s="15">
        <v>0</v>
      </c>
      <c r="J20" s="15">
        <v>0</v>
      </c>
      <c r="K20" s="18">
        <v>2</v>
      </c>
      <c r="L20" s="18">
        <v>2</v>
      </c>
      <c r="M20" s="18">
        <v>1</v>
      </c>
      <c r="N20" s="18">
        <v>1</v>
      </c>
      <c r="O20" s="18">
        <v>1</v>
      </c>
      <c r="P20" s="18">
        <v>1</v>
      </c>
      <c r="Q20" s="15">
        <v>0</v>
      </c>
      <c r="R20" s="15">
        <v>0</v>
      </c>
      <c r="S20" s="15">
        <v>0</v>
      </c>
      <c r="T20" s="15">
        <v>0</v>
      </c>
      <c r="U20" s="19" t="s">
        <v>26</v>
      </c>
      <c r="V20" s="17"/>
      <c r="W20" s="17"/>
      <c r="X20" s="17"/>
      <c r="Y20" s="17"/>
      <c r="Z20" s="17"/>
      <c r="AA20" s="17"/>
      <c r="AB20" s="17"/>
      <c r="AC20" s="17"/>
      <c r="AD20" s="17"/>
    </row>
    <row r="21" spans="5:34" x14ac:dyDescent="0.35">
      <c r="E21" s="14" t="s">
        <v>20</v>
      </c>
      <c r="F21" s="17"/>
      <c r="G21" s="17"/>
      <c r="H21" s="17"/>
      <c r="I21" s="17"/>
      <c r="J21" s="17"/>
      <c r="K21" s="17"/>
      <c r="L21" s="18">
        <v>3</v>
      </c>
      <c r="M21" s="18">
        <v>2</v>
      </c>
      <c r="N21" s="18">
        <v>2</v>
      </c>
      <c r="O21" s="18">
        <v>2</v>
      </c>
      <c r="P21" s="18">
        <v>2</v>
      </c>
      <c r="Q21" s="18">
        <v>1</v>
      </c>
      <c r="R21" s="18">
        <v>1</v>
      </c>
      <c r="S21" s="18">
        <v>1</v>
      </c>
      <c r="T21" s="18">
        <v>1</v>
      </c>
      <c r="U21" s="15">
        <v>0</v>
      </c>
      <c r="V21" s="15">
        <v>0</v>
      </c>
      <c r="W21" s="15">
        <v>0</v>
      </c>
      <c r="X21" s="15">
        <v>0</v>
      </c>
      <c r="Y21" s="18">
        <v>1</v>
      </c>
      <c r="Z21" s="15">
        <v>0</v>
      </c>
      <c r="AA21" s="15">
        <v>0</v>
      </c>
      <c r="AB21" s="15">
        <v>0</v>
      </c>
      <c r="AC21" s="15">
        <v>0</v>
      </c>
      <c r="AD21" s="19" t="s">
        <v>26</v>
      </c>
    </row>
    <row r="22" spans="5:34" x14ac:dyDescent="0.35">
      <c r="E22" s="14" t="s">
        <v>21</v>
      </c>
      <c r="F22" s="17"/>
      <c r="G22" s="17"/>
      <c r="H22" s="18">
        <v>1</v>
      </c>
      <c r="I22" s="18">
        <v>1</v>
      </c>
      <c r="J22" s="18">
        <v>1</v>
      </c>
      <c r="K22" s="15">
        <v>0</v>
      </c>
      <c r="L22" s="15">
        <v>0</v>
      </c>
      <c r="M22" s="19" t="s">
        <v>26</v>
      </c>
      <c r="N22" s="17"/>
      <c r="O22" s="17"/>
      <c r="P22" s="17"/>
      <c r="Q22" s="17"/>
      <c r="R22" s="17"/>
      <c r="S22" s="17"/>
      <c r="T22" s="17"/>
      <c r="U22" s="17"/>
      <c r="V22" s="17"/>
      <c r="W22" s="17"/>
      <c r="X22" s="17"/>
      <c r="Y22" s="17"/>
      <c r="Z22" s="17"/>
      <c r="AA22" s="17"/>
      <c r="AB22" s="17"/>
      <c r="AC22" s="17"/>
      <c r="AD22" s="17"/>
    </row>
    <row r="25" spans="5:34" x14ac:dyDescent="0.35">
      <c r="E25" t="s">
        <v>27</v>
      </c>
    </row>
    <row r="26" spans="5:34" x14ac:dyDescent="0.35">
      <c r="E26" s="12" t="s">
        <v>23</v>
      </c>
      <c r="F26" s="13">
        <v>0</v>
      </c>
      <c r="G26" s="13">
        <v>1</v>
      </c>
      <c r="H26" s="13">
        <v>2</v>
      </c>
      <c r="I26" s="13">
        <v>3</v>
      </c>
      <c r="J26" s="13">
        <v>4</v>
      </c>
      <c r="K26" s="13">
        <v>5</v>
      </c>
      <c r="L26" s="13">
        <v>6</v>
      </c>
      <c r="M26" s="13">
        <v>7</v>
      </c>
      <c r="N26" s="13">
        <v>8</v>
      </c>
      <c r="O26" s="13">
        <v>9</v>
      </c>
      <c r="P26" s="13">
        <v>10</v>
      </c>
      <c r="Q26" s="13">
        <v>11</v>
      </c>
      <c r="R26" s="13">
        <v>12</v>
      </c>
      <c r="S26" s="13">
        <v>13</v>
      </c>
      <c r="T26" s="13">
        <v>14</v>
      </c>
      <c r="U26" s="13">
        <v>15</v>
      </c>
      <c r="V26" s="13">
        <v>16</v>
      </c>
      <c r="W26" s="13">
        <v>17</v>
      </c>
      <c r="X26" s="13">
        <v>18</v>
      </c>
      <c r="Y26" s="13">
        <v>19</v>
      </c>
      <c r="Z26" s="13">
        <v>20</v>
      </c>
      <c r="AA26" s="13">
        <v>21</v>
      </c>
      <c r="AB26" s="13">
        <v>22</v>
      </c>
      <c r="AC26" s="13">
        <v>23</v>
      </c>
      <c r="AD26" s="13">
        <v>24</v>
      </c>
    </row>
    <row r="27" spans="5:34" x14ac:dyDescent="0.35">
      <c r="E27" s="14" t="s">
        <v>18</v>
      </c>
      <c r="F27" s="20"/>
      <c r="G27" s="14"/>
      <c r="H27" s="20"/>
      <c r="I27" s="14"/>
      <c r="J27" s="20"/>
      <c r="K27" s="14"/>
      <c r="L27" s="20"/>
      <c r="M27" s="52" t="s">
        <v>18</v>
      </c>
      <c r="N27" s="54"/>
      <c r="O27" s="54"/>
      <c r="P27" s="54"/>
      <c r="Q27" s="14"/>
      <c r="R27" s="20"/>
      <c r="S27" s="14"/>
      <c r="T27" s="20"/>
      <c r="U27" s="14"/>
      <c r="V27" s="20"/>
      <c r="W27" s="14"/>
      <c r="X27" s="20"/>
      <c r="Y27" s="25" t="s">
        <v>18</v>
      </c>
      <c r="Z27" s="20"/>
      <c r="AA27" s="14"/>
      <c r="AB27" s="20"/>
      <c r="AC27" s="14"/>
      <c r="AD27" s="20"/>
    </row>
    <row r="28" spans="5:34" x14ac:dyDescent="0.35">
      <c r="E28" s="14" t="s">
        <v>19</v>
      </c>
      <c r="F28" s="20"/>
      <c r="G28" s="49" t="s">
        <v>19</v>
      </c>
      <c r="H28" s="54"/>
      <c r="I28" s="54"/>
      <c r="J28" s="54"/>
      <c r="K28" s="14"/>
      <c r="L28" s="20"/>
      <c r="M28" s="14"/>
      <c r="N28" s="20"/>
      <c r="O28" s="14"/>
      <c r="P28" s="20"/>
      <c r="Q28" s="49" t="s">
        <v>19</v>
      </c>
      <c r="R28" s="54"/>
      <c r="S28" s="54"/>
      <c r="T28" s="54"/>
      <c r="U28" s="14"/>
      <c r="V28" s="20"/>
      <c r="W28" s="14"/>
      <c r="X28" s="20"/>
      <c r="Y28" s="14"/>
      <c r="Z28" s="20"/>
      <c r="AA28" s="14"/>
      <c r="AB28" s="20"/>
      <c r="AC28" s="14"/>
      <c r="AD28" s="20"/>
    </row>
    <row r="29" spans="5:34" x14ac:dyDescent="0.35">
      <c r="E29" s="14" t="s">
        <v>20</v>
      </c>
      <c r="F29" s="20"/>
      <c r="G29" s="14"/>
      <c r="H29" s="20"/>
      <c r="I29" s="14"/>
      <c r="J29" s="20"/>
      <c r="K29" s="14"/>
      <c r="L29" s="20"/>
      <c r="M29" s="14"/>
      <c r="N29" s="20"/>
      <c r="O29" s="14"/>
      <c r="P29" s="20"/>
      <c r="Q29" s="14"/>
      <c r="R29" s="20"/>
      <c r="S29" s="14"/>
      <c r="T29" s="20"/>
      <c r="U29" s="53" t="s">
        <v>20</v>
      </c>
      <c r="V29" s="54"/>
      <c r="W29" s="54"/>
      <c r="X29" s="54"/>
      <c r="Y29" s="14"/>
      <c r="Z29" s="53" t="s">
        <v>20</v>
      </c>
      <c r="AA29" s="55"/>
      <c r="AB29" s="55"/>
      <c r="AC29" s="55"/>
      <c r="AD29" s="20"/>
    </row>
    <row r="30" spans="5:34" x14ac:dyDescent="0.35">
      <c r="E30" s="14" t="s">
        <v>21</v>
      </c>
      <c r="F30" s="20"/>
      <c r="G30" s="14"/>
      <c r="H30" s="20"/>
      <c r="I30" s="14"/>
      <c r="J30" s="20"/>
      <c r="K30" s="51" t="s">
        <v>21</v>
      </c>
      <c r="L30" s="54"/>
      <c r="M30" s="14"/>
      <c r="N30" s="20"/>
      <c r="O30" s="14"/>
      <c r="P30" s="20"/>
      <c r="Q30" s="14"/>
      <c r="R30" s="20"/>
      <c r="S30" s="14"/>
      <c r="T30" s="20"/>
      <c r="U30" s="14"/>
      <c r="V30" s="20"/>
      <c r="W30" s="14"/>
      <c r="X30" s="20"/>
      <c r="Y30" s="14"/>
      <c r="Z30" s="20"/>
      <c r="AA30" s="14"/>
      <c r="AB30" s="20"/>
      <c r="AC30" s="14"/>
      <c r="AD30" s="20"/>
    </row>
    <row r="33" spans="5:30" x14ac:dyDescent="0.35">
      <c r="E33" t="s">
        <v>28</v>
      </c>
    </row>
    <row r="34" spans="5:30" x14ac:dyDescent="0.35">
      <c r="E34" s="12" t="s">
        <v>23</v>
      </c>
      <c r="F34" s="17"/>
      <c r="G34" s="49" t="s">
        <v>19</v>
      </c>
      <c r="H34" s="50"/>
      <c r="I34" s="50"/>
      <c r="J34" s="50"/>
      <c r="K34" s="51" t="s">
        <v>21</v>
      </c>
      <c r="L34" s="50"/>
      <c r="M34" s="52" t="s">
        <v>18</v>
      </c>
      <c r="N34" s="50"/>
      <c r="O34" s="50"/>
      <c r="P34" s="50"/>
      <c r="Q34" s="49" t="s">
        <v>19</v>
      </c>
      <c r="R34" s="50"/>
      <c r="S34" s="50"/>
      <c r="T34" s="50"/>
      <c r="U34" s="53" t="s">
        <v>20</v>
      </c>
      <c r="V34" s="50"/>
      <c r="W34" s="50"/>
      <c r="X34" s="50"/>
      <c r="Y34" s="25" t="s">
        <v>18</v>
      </c>
      <c r="Z34" s="53" t="s">
        <v>20</v>
      </c>
      <c r="AA34" s="50"/>
      <c r="AB34" s="50"/>
      <c r="AC34" s="50"/>
      <c r="AD34" s="17"/>
    </row>
    <row r="35" spans="5:30" x14ac:dyDescent="0.35">
      <c r="E35" s="17"/>
      <c r="F35" s="18">
        <v>0</v>
      </c>
      <c r="G35" s="18">
        <v>1</v>
      </c>
      <c r="H35" s="18">
        <v>2</v>
      </c>
      <c r="I35" s="18">
        <v>3</v>
      </c>
      <c r="J35" s="18">
        <v>4</v>
      </c>
      <c r="K35" s="18">
        <v>5</v>
      </c>
      <c r="L35" s="18">
        <v>6</v>
      </c>
      <c r="M35" s="18">
        <v>7</v>
      </c>
      <c r="N35" s="18">
        <v>8</v>
      </c>
      <c r="O35" s="18">
        <v>9</v>
      </c>
      <c r="P35" s="18">
        <v>10</v>
      </c>
      <c r="Q35" s="18">
        <v>11</v>
      </c>
      <c r="R35" s="18">
        <v>12</v>
      </c>
      <c r="S35" s="18">
        <v>13</v>
      </c>
      <c r="T35" s="18">
        <v>14</v>
      </c>
      <c r="U35" s="18">
        <v>15</v>
      </c>
      <c r="V35" s="18">
        <v>16</v>
      </c>
      <c r="W35" s="18">
        <v>17</v>
      </c>
      <c r="X35" s="18">
        <v>18</v>
      </c>
      <c r="Y35" s="18">
        <v>19</v>
      </c>
      <c r="Z35" s="18">
        <v>20</v>
      </c>
      <c r="AA35" s="18">
        <v>21</v>
      </c>
      <c r="AB35" s="18">
        <v>22</v>
      </c>
      <c r="AC35" s="18">
        <v>23</v>
      </c>
      <c r="AD35" s="18">
        <v>24</v>
      </c>
    </row>
  </sheetData>
  <mergeCells count="12">
    <mergeCell ref="Z34:AC34"/>
    <mergeCell ref="M27:P27"/>
    <mergeCell ref="G28:J28"/>
    <mergeCell ref="Q28:T28"/>
    <mergeCell ref="U29:X29"/>
    <mergeCell ref="Z29:AC29"/>
    <mergeCell ref="K30:L30"/>
    <mergeCell ref="G34:J34"/>
    <mergeCell ref="K34:L34"/>
    <mergeCell ref="M34:P34"/>
    <mergeCell ref="Q34:T34"/>
    <mergeCell ref="U34:X34"/>
  </mergeCell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2</vt:i4>
      </vt:variant>
    </vt:vector>
  </HeadingPairs>
  <TitlesOfParts>
    <vt:vector size="2" baseType="lpstr">
      <vt:lpstr>Calculadora Recur. Comput.</vt:lpstr>
      <vt:lpstr>Round-Robin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David</dc:creator>
  <cp:keywords/>
  <dc:description/>
  <cp:lastModifiedBy>David</cp:lastModifiedBy>
  <cp:revision/>
  <dcterms:created xsi:type="dcterms:W3CDTF">2024-04-04T23:34:49Z</dcterms:created>
  <dcterms:modified xsi:type="dcterms:W3CDTF">2025-10-19T21:11:20Z</dcterms:modified>
  <cp:category/>
  <cp:contentStatus/>
</cp:coreProperties>
</file>